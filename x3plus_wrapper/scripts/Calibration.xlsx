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x3plus_bot\x3plus_wrapper\scripts\"/>
    </mc:Choice>
  </mc:AlternateContent>
  <xr:revisionPtr revIDLastSave="0" documentId="13_ncr:1_{E9A4C8F0-A32A-4D75-B1F4-8ADB4498775C}" xr6:coauthVersionLast="47" xr6:coauthVersionMax="47" xr10:uidLastSave="{00000000-0000-0000-0000-000000000000}"/>
  <bookViews>
    <workbookView xWindow="28680" yWindow="-30" windowWidth="29040" windowHeight="15720" activeTab="1" xr2:uid="{B793342D-F5E8-4ACE-8732-A5DDBC3F5AE6}"/>
  </bookViews>
  <sheets>
    <sheet name="Linear Motion" sheetId="1" r:id="rId1"/>
    <sheet name="Rotation Te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2" l="1"/>
  <c r="F8" i="2"/>
  <c r="D20" i="2"/>
  <c r="F20" i="2" s="1"/>
  <c r="F16" i="2"/>
  <c r="F18" i="2"/>
  <c r="F8" i="1"/>
  <c r="G8" i="1" s="1"/>
  <c r="F11" i="1"/>
  <c r="G11" i="1" s="1"/>
  <c r="H16" i="2" l="1"/>
  <c r="H8" i="2"/>
  <c r="I11" i="1"/>
  <c r="K11" i="1" s="1"/>
  <c r="N15" i="1" s="1"/>
  <c r="P19" i="1" s="1"/>
  <c r="J8" i="2" l="1"/>
  <c r="M21" i="2" s="1"/>
</calcChain>
</file>

<file path=xl/sharedStrings.xml><?xml version="1.0" encoding="utf-8"?>
<sst xmlns="http://schemas.openxmlformats.org/spreadsheetml/2006/main" count="25" uniqueCount="18">
  <si>
    <t>X0</t>
  </si>
  <si>
    <t>X1</t>
  </si>
  <si>
    <t>Y0</t>
  </si>
  <si>
    <t>Y1</t>
  </si>
  <si>
    <t>Distance</t>
  </si>
  <si>
    <t>MR</t>
  </si>
  <si>
    <t>Radius</t>
  </si>
  <si>
    <t>Z0</t>
  </si>
  <si>
    <t>W0</t>
  </si>
  <si>
    <t>Z1</t>
  </si>
  <si>
    <t>W1</t>
  </si>
  <si>
    <t>Theta</t>
  </si>
  <si>
    <t>Delta (rad)</t>
  </si>
  <si>
    <t>M0</t>
  </si>
  <si>
    <t>M1</t>
  </si>
  <si>
    <t>KS</t>
  </si>
  <si>
    <t xml:space="preserve"> </t>
  </si>
  <si>
    <t>wheel_separation_length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</si>
</sst>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6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098658"/>
      <name val="Consolas"/>
      <family val="3"/>
    </font>
    <font>
      <sz val="11"/>
      <color rgb="FF0000FF"/>
      <name val="Consolas"/>
      <family val="3"/>
    </font>
    <font>
      <sz val="11"/>
      <color rgb="FF800000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 tint="-0.149967955565050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9">
    <xf numFmtId="0" fontId="0" fillId="0" borderId="0" xfId="0"/>
    <xf numFmtId="164" fontId="0" fillId="0" borderId="0" xfId="0" applyNumberFormat="1"/>
    <xf numFmtId="164" fontId="0" fillId="4" borderId="0" xfId="0" applyNumberFormat="1" applyFill="1"/>
    <xf numFmtId="164" fontId="3" fillId="4" borderId="0" xfId="0" applyNumberFormat="1" applyFont="1" applyFill="1" applyAlignment="1">
      <alignment vertical="center"/>
    </xf>
    <xf numFmtId="164" fontId="4" fillId="4" borderId="0" xfId="0" quotePrefix="1" applyNumberFormat="1" applyFont="1" applyFill="1" applyAlignment="1">
      <alignment vertical="center"/>
    </xf>
    <xf numFmtId="0" fontId="0" fillId="4" borderId="0" xfId="0" applyFill="1"/>
    <xf numFmtId="0" fontId="1" fillId="2" borderId="0" xfId="1"/>
    <xf numFmtId="0" fontId="2" fillId="3" borderId="0" xfId="2"/>
    <xf numFmtId="0" fontId="5" fillId="0" borderId="0" xfId="0" applyFont="1" applyAlignment="1">
      <alignment vertical="center"/>
    </xf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DAFDA-AE7E-49CA-B4CB-14A026A271FE}">
  <dimension ref="B7:P19"/>
  <sheetViews>
    <sheetView workbookViewId="0">
      <selection activeCell="N15" sqref="N15"/>
    </sheetView>
  </sheetViews>
  <sheetFormatPr defaultRowHeight="15" x14ac:dyDescent="0.25"/>
  <cols>
    <col min="4" max="4" width="24.28515625" style="1" bestFit="1" customWidth="1"/>
  </cols>
  <sheetData>
    <row r="7" spans="2:14" x14ac:dyDescent="0.25">
      <c r="B7" t="s">
        <v>0</v>
      </c>
      <c r="D7" s="2">
        <v>1.9100966886822</v>
      </c>
    </row>
    <row r="8" spans="2:14" x14ac:dyDescent="0.25">
      <c r="B8" t="s">
        <v>1</v>
      </c>
      <c r="D8" s="3">
        <v>3.8117018666539102</v>
      </c>
      <c r="F8" s="1">
        <f>D8-D7</f>
        <v>1.9016051779717102</v>
      </c>
      <c r="G8">
        <f>F8*F8</f>
        <v>3.6161022528888198</v>
      </c>
    </row>
    <row r="10" spans="2:14" x14ac:dyDescent="0.25">
      <c r="B10" t="s">
        <v>2</v>
      </c>
      <c r="D10" s="4">
        <v>1.84234356413975E-2</v>
      </c>
    </row>
    <row r="11" spans="2:14" x14ac:dyDescent="0.25">
      <c r="B11" t="s">
        <v>3</v>
      </c>
      <c r="D11" s="4">
        <v>-4.16833824821067E-2</v>
      </c>
      <c r="F11" s="1">
        <f>D11-D10</f>
        <v>-6.0106818123504199E-2</v>
      </c>
      <c r="G11">
        <f>F11*F11</f>
        <v>3.6128295849320127E-3</v>
      </c>
      <c r="I11">
        <f>G11+G8</f>
        <v>3.6197150824737516</v>
      </c>
      <c r="K11">
        <f>SQRT(I11)</f>
        <v>1.902554882907127</v>
      </c>
    </row>
    <row r="15" spans="2:14" x14ac:dyDescent="0.25">
      <c r="B15" t="s">
        <v>4</v>
      </c>
      <c r="D15" s="2">
        <v>1.91</v>
      </c>
      <c r="M15" t="s">
        <v>5</v>
      </c>
      <c r="N15" s="7">
        <f>D15/K11</f>
        <v>1.0039132206696171</v>
      </c>
    </row>
    <row r="18" spans="13:16" x14ac:dyDescent="0.25">
      <c r="M18" t="s">
        <v>6</v>
      </c>
      <c r="N18" s="5">
        <v>3.9E-2</v>
      </c>
    </row>
    <row r="19" spans="13:16" x14ac:dyDescent="0.25">
      <c r="P19" s="6">
        <f>N15*N18</f>
        <v>3.9152615606115063E-2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2FA0C-D367-4BDD-A033-C12697EEDC4E}">
  <dimension ref="A6:M30"/>
  <sheetViews>
    <sheetView tabSelected="1" workbookViewId="0">
      <selection activeCell="D13" sqref="D13"/>
    </sheetView>
  </sheetViews>
  <sheetFormatPr defaultRowHeight="15" x14ac:dyDescent="0.25"/>
  <cols>
    <col min="10" max="10" width="28.140625" customWidth="1"/>
  </cols>
  <sheetData>
    <row r="6" spans="1:10" x14ac:dyDescent="0.25">
      <c r="F6" t="s">
        <v>11</v>
      </c>
      <c r="H6" t="s">
        <v>12</v>
      </c>
      <c r="J6" t="s">
        <v>15</v>
      </c>
    </row>
    <row r="8" spans="1:10" x14ac:dyDescent="0.25">
      <c r="C8" t="s">
        <v>7</v>
      </c>
      <c r="D8" s="5">
        <v>-0.97650705342477095</v>
      </c>
      <c r="F8">
        <f>2*ATAN2(D8,D9)</f>
        <v>5.8488074655541329</v>
      </c>
      <c r="H8">
        <f>F11-F8</f>
        <v>-1.8061520321178186</v>
      </c>
      <c r="J8" s="7">
        <f>H16/H8</f>
        <v>1.4011707599300778</v>
      </c>
    </row>
    <row r="9" spans="1:10" x14ac:dyDescent="0.25">
      <c r="C9" t="s">
        <v>8</v>
      </c>
      <c r="D9" s="5">
        <v>0.215485439442369</v>
      </c>
    </row>
    <row r="11" spans="1:10" x14ac:dyDescent="0.25">
      <c r="C11" t="s">
        <v>9</v>
      </c>
      <c r="D11" s="5">
        <v>-0.43544396119358098</v>
      </c>
      <c r="F11">
        <f>2*ATAN2(D11,D12)</f>
        <v>4.0426554334363143</v>
      </c>
    </row>
    <row r="12" spans="1:10" x14ac:dyDescent="0.25">
      <c r="C12" t="s">
        <v>10</v>
      </c>
      <c r="D12" s="5">
        <v>0.90021583892977697</v>
      </c>
    </row>
    <row r="16" spans="1:10" x14ac:dyDescent="0.25">
      <c r="A16" t="s">
        <v>16</v>
      </c>
      <c r="C16" t="s">
        <v>13</v>
      </c>
      <c r="D16" s="5">
        <v>328</v>
      </c>
      <c r="F16">
        <f>RADIANS(D16)</f>
        <v>5.7246799465414009</v>
      </c>
      <c r="G16" t="s">
        <v>16</v>
      </c>
      <c r="H16">
        <f>F18-F16</f>
        <v>-2.530727415391778</v>
      </c>
      <c r="I16" t="s">
        <v>16</v>
      </c>
    </row>
    <row r="18" spans="1:13" x14ac:dyDescent="0.25">
      <c r="A18" t="s">
        <v>16</v>
      </c>
      <c r="C18" t="s">
        <v>14</v>
      </c>
      <c r="D18" s="5">
        <v>183</v>
      </c>
      <c r="F18">
        <f>RADIANS(D18)</f>
        <v>3.1939525311496229</v>
      </c>
      <c r="G18" t="s">
        <v>16</v>
      </c>
      <c r="J18" s="8" t="s">
        <v>17</v>
      </c>
      <c r="K18" s="5">
        <v>0.35585099999999997</v>
      </c>
    </row>
    <row r="20" spans="1:13" x14ac:dyDescent="0.25">
      <c r="D20">
        <f>D18-D16</f>
        <v>-145</v>
      </c>
      <c r="F20">
        <f>RADIANS(D20)</f>
        <v>-2.530727415391778</v>
      </c>
    </row>
    <row r="21" spans="1:13" x14ac:dyDescent="0.25">
      <c r="M21" s="6">
        <f>J8*K18</f>
        <v>0.49860801609187805</v>
      </c>
    </row>
    <row r="25" spans="1:13" x14ac:dyDescent="0.25">
      <c r="D25" t="s">
        <v>16</v>
      </c>
    </row>
    <row r="28" spans="1:13" x14ac:dyDescent="0.25">
      <c r="D28" t="s">
        <v>16</v>
      </c>
    </row>
    <row r="30" spans="1:13" x14ac:dyDescent="0.25">
      <c r="D3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Linear Motion</vt:lpstr>
      <vt:lpstr>Rotation 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Cord Burmeister</dc:creator>
  <cp:lastModifiedBy>Cord Burmeister</cp:lastModifiedBy>
  <dcterms:created xsi:type="dcterms:W3CDTF">2025-12-27T09:54:16Z</dcterms:created>
  <dcterms:modified xsi:type="dcterms:W3CDTF">2025-12-29T16:37:58Z</dcterms:modified>
</cp:coreProperties>
</file>